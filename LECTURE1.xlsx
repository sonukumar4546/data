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tabRatio="376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Sheet1!$H$143:$M$156</definedName>
  </definedNames>
  <calcPr calcId="124519"/>
</workbook>
</file>

<file path=xl/calcChain.xml><?xml version="1.0" encoding="utf-8"?>
<calcChain xmlns="http://schemas.openxmlformats.org/spreadsheetml/2006/main">
  <c r="L230" i="1"/>
  <c r="L231"/>
  <c r="L232"/>
  <c r="L233"/>
  <c r="L234"/>
  <c r="L235"/>
  <c r="L236"/>
  <c r="L237"/>
  <c r="L238"/>
  <c r="L239"/>
  <c r="L240"/>
  <c r="L241"/>
  <c r="L242"/>
  <c r="L229"/>
  <c r="L271"/>
  <c r="L272"/>
  <c r="L273"/>
  <c r="L274"/>
  <c r="L275"/>
  <c r="L276"/>
  <c r="L277"/>
  <c r="L278"/>
  <c r="L279"/>
  <c r="L280"/>
  <c r="L281"/>
  <c r="L282"/>
  <c r="L283"/>
  <c r="L284"/>
  <c r="L285"/>
  <c r="L286"/>
  <c r="L270"/>
  <c r="J254"/>
  <c r="J255"/>
  <c r="J256"/>
  <c r="J257"/>
  <c r="J258"/>
  <c r="J259"/>
  <c r="J260"/>
  <c r="J261"/>
  <c r="J262"/>
  <c r="J263"/>
  <c r="J264"/>
  <c r="J265"/>
  <c r="J266"/>
  <c r="J267"/>
  <c r="J268"/>
  <c r="J253"/>
  <c r="J222"/>
  <c r="J221"/>
  <c r="J209"/>
  <c r="J220"/>
  <c r="J219"/>
  <c r="J218"/>
  <c r="J217"/>
  <c r="J216"/>
  <c r="J210"/>
  <c r="J211"/>
  <c r="J212"/>
  <c r="J213"/>
  <c r="J214"/>
  <c r="J215"/>
  <c r="N160"/>
  <c r="N161"/>
  <c r="N163"/>
  <c r="N164"/>
  <c r="N166"/>
  <c r="N159"/>
  <c r="J131"/>
  <c r="M100"/>
  <c r="M101"/>
  <c r="M103"/>
  <c r="M102"/>
  <c r="M99"/>
  <c r="M98"/>
  <c r="M97"/>
  <c r="M96"/>
  <c r="M95"/>
  <c r="M94"/>
  <c r="M93"/>
  <c r="M92"/>
  <c r="M91"/>
  <c r="M90"/>
  <c r="J191"/>
  <c r="J192"/>
  <c r="J193"/>
  <c r="J194"/>
  <c r="J195"/>
  <c r="J196"/>
  <c r="J197"/>
  <c r="J198"/>
  <c r="J199"/>
  <c r="J200"/>
  <c r="J201"/>
  <c r="J190"/>
  <c r="I180"/>
  <c r="I177"/>
  <c r="I178"/>
  <c r="I179"/>
  <c r="I181"/>
  <c r="I182"/>
  <c r="I183"/>
  <c r="I184"/>
  <c r="I185"/>
  <c r="I186"/>
  <c r="I176"/>
  <c r="K169"/>
  <c r="J169"/>
  <c r="N162" s="1"/>
  <c r="K156"/>
  <c r="L153"/>
  <c r="L154"/>
  <c r="L155"/>
  <c r="L145"/>
  <c r="L146"/>
  <c r="L147"/>
  <c r="L148"/>
  <c r="L149"/>
  <c r="L150"/>
  <c r="L151"/>
  <c r="L152"/>
  <c r="L144"/>
  <c r="M126"/>
  <c r="M128"/>
  <c r="M130"/>
  <c r="M132"/>
  <c r="M134"/>
  <c r="M136"/>
  <c r="M119"/>
  <c r="L120"/>
  <c r="M120" s="1"/>
  <c r="L121"/>
  <c r="M121" s="1"/>
  <c r="L122"/>
  <c r="M122" s="1"/>
  <c r="L123"/>
  <c r="M123" s="1"/>
  <c r="L124"/>
  <c r="M124" s="1"/>
  <c r="L125"/>
  <c r="M125" s="1"/>
  <c r="L126"/>
  <c r="L127"/>
  <c r="M127" s="1"/>
  <c r="L128"/>
  <c r="L129"/>
  <c r="M129" s="1"/>
  <c r="L130"/>
  <c r="L131"/>
  <c r="M131" s="1"/>
  <c r="L132"/>
  <c r="L133"/>
  <c r="M133" s="1"/>
  <c r="L134"/>
  <c r="L135"/>
  <c r="M135" s="1"/>
  <c r="L136"/>
  <c r="L137"/>
  <c r="M137" s="1"/>
  <c r="L119"/>
  <c r="J122"/>
  <c r="J123"/>
  <c r="J124"/>
  <c r="J125"/>
  <c r="J126"/>
  <c r="J127"/>
  <c r="J128"/>
  <c r="J129"/>
  <c r="J130"/>
  <c r="J132"/>
  <c r="J133"/>
  <c r="J134"/>
  <c r="J135"/>
  <c r="J136"/>
  <c r="J137"/>
  <c r="N165" l="1"/>
  <c r="N121"/>
  <c r="N120"/>
  <c r="N119"/>
  <c r="J121"/>
  <c r="J120"/>
  <c r="J119"/>
  <c r="J113"/>
  <c r="J114"/>
  <c r="J112"/>
  <c r="K113"/>
  <c r="L113" s="1"/>
  <c r="M113" s="1"/>
  <c r="K114"/>
  <c r="L114" s="1"/>
  <c r="M114" s="1"/>
  <c r="K112"/>
  <c r="L112" s="1"/>
  <c r="M112" s="1"/>
  <c r="N86"/>
  <c r="Q77"/>
  <c r="Q74"/>
  <c r="Q75"/>
  <c r="Q73"/>
  <c r="Q70"/>
  <c r="Q72"/>
  <c r="Q76"/>
  <c r="M65"/>
  <c r="M64"/>
  <c r="M63"/>
  <c r="O50"/>
  <c r="O51"/>
  <c r="O49"/>
  <c r="I44"/>
  <c r="F42"/>
  <c r="M41"/>
  <c r="M40"/>
  <c r="M39"/>
  <c r="N37"/>
  <c r="M37"/>
  <c r="O36"/>
  <c r="N36"/>
  <c r="M36"/>
</calcChain>
</file>

<file path=xl/sharedStrings.xml><?xml version="1.0" encoding="utf-8"?>
<sst xmlns="http://schemas.openxmlformats.org/spreadsheetml/2006/main" count="227" uniqueCount="110">
  <si>
    <t>harsh</t>
  </si>
  <si>
    <t>sonu</t>
  </si>
  <si>
    <t>pushpa</t>
  </si>
  <si>
    <t>SUM</t>
  </si>
  <si>
    <t>AVERAGE</t>
  </si>
  <si>
    <t>MAX</t>
  </si>
  <si>
    <t>ROUND</t>
  </si>
  <si>
    <t>ROUNDUP</t>
  </si>
  <si>
    <t>ROUNDDOWN</t>
  </si>
  <si>
    <t>RAND</t>
  </si>
  <si>
    <t>MIN</t>
  </si>
  <si>
    <t>RANDBETWEEN</t>
  </si>
  <si>
    <t>AVRAGE</t>
  </si>
  <si>
    <t>COUNT</t>
  </si>
  <si>
    <t>COUNTA</t>
  </si>
  <si>
    <t>COUNTIF</t>
  </si>
  <si>
    <t>A</t>
  </si>
  <si>
    <t>NA</t>
  </si>
  <si>
    <t>COUNT OF INTERGER VALUUE</t>
  </si>
  <si>
    <t>COUNTOF NON EMPTY VALUE</t>
  </si>
  <si>
    <t>COUNT OF INVALID POSITIVE</t>
  </si>
  <si>
    <t>COUNT OF INVALID NEGATIVE</t>
  </si>
  <si>
    <t>NO OF  PEOPLE ELIGIBLE FOR VOTING</t>
  </si>
  <si>
    <t>TOTAL INVALID</t>
  </si>
  <si>
    <t>DATE</t>
  </si>
  <si>
    <t>TEXT</t>
  </si>
  <si>
    <t>Function</t>
  </si>
  <si>
    <t>LEFT</t>
  </si>
  <si>
    <t>RIGHT</t>
  </si>
  <si>
    <t>LEN</t>
  </si>
  <si>
    <t>MID</t>
  </si>
  <si>
    <t>LOWER</t>
  </si>
  <si>
    <t>UPPER</t>
  </si>
  <si>
    <t>TRIM</t>
  </si>
  <si>
    <t>SEARCH</t>
  </si>
  <si>
    <t>REPLACE</t>
  </si>
  <si>
    <t>SUBSTITUTE</t>
  </si>
  <si>
    <t>EXAMPLE</t>
  </si>
  <si>
    <t>Harshvardhan</t>
  </si>
  <si>
    <t>Singh</t>
  </si>
  <si>
    <t>Harshvardhan Singh</t>
  </si>
  <si>
    <t>CONCATENATION</t>
  </si>
  <si>
    <t xml:space="preserve"> Harshvardhan      singh</t>
  </si>
  <si>
    <t>FIND</t>
  </si>
  <si>
    <t>PROPER</t>
  </si>
  <si>
    <t>EXACT</t>
  </si>
  <si>
    <t>Harshvardhan singh</t>
  </si>
  <si>
    <t xml:space="preserve"> TEXTSPLOTTING </t>
  </si>
  <si>
    <t>SONU#KUMAR#SAH</t>
  </si>
  <si>
    <t>SONU</t>
  </si>
  <si>
    <t>KUMAR</t>
  </si>
  <si>
    <t>SAH</t>
  </si>
  <si>
    <t>FIRST NAME</t>
  </si>
  <si>
    <t>LAST NAME</t>
  </si>
  <si>
    <t>FULL NAME</t>
  </si>
  <si>
    <t xml:space="preserve">   harshvardhan</t>
  </si>
  <si>
    <t xml:space="preserve">    singh</t>
  </si>
  <si>
    <t xml:space="preserve">  abhijeet </t>
  </si>
  <si>
    <t xml:space="preserve">     sharma</t>
  </si>
  <si>
    <t>vidit</t>
  </si>
  <si>
    <t xml:space="preserve">       dixit</t>
  </si>
  <si>
    <t>AGE</t>
  </si>
  <si>
    <t>SINGH</t>
  </si>
  <si>
    <t>FIXED AGE</t>
  </si>
  <si>
    <t>ADULT/-1</t>
  </si>
  <si>
    <t>Name</t>
  </si>
  <si>
    <t>Harsh</t>
  </si>
  <si>
    <t>Harsh Singh</t>
  </si>
  <si>
    <t>Manish Kumar</t>
  </si>
  <si>
    <t>Mani Jha</t>
  </si>
  <si>
    <t>Abhi Bajpai</t>
  </si>
  <si>
    <t>Anubhav Singh</t>
  </si>
  <si>
    <t>Pranav Singh</t>
  </si>
  <si>
    <t>Anshul Srivastav</t>
  </si>
  <si>
    <t>First Name</t>
  </si>
  <si>
    <t>Last Name</t>
  </si>
  <si>
    <t>Manish</t>
  </si>
  <si>
    <t>Kumar</t>
  </si>
  <si>
    <t>Mani</t>
  </si>
  <si>
    <t>Jha</t>
  </si>
  <si>
    <t>Abhi</t>
  </si>
  <si>
    <t>Bajpai</t>
  </si>
  <si>
    <t>Anubhav</t>
  </si>
  <si>
    <t>Pranav</t>
  </si>
  <si>
    <t>Anshul</t>
  </si>
  <si>
    <t>Srivastav</t>
  </si>
  <si>
    <t>Fixed Last name</t>
  </si>
  <si>
    <t xml:space="preserve">Mani </t>
  </si>
  <si>
    <t>sonu partap</t>
  </si>
  <si>
    <t>hem shingh</t>
  </si>
  <si>
    <t>partap</t>
  </si>
  <si>
    <t>hem</t>
  </si>
  <si>
    <t>shingh</t>
  </si>
  <si>
    <t>Fixed age</t>
  </si>
  <si>
    <t>Salary</t>
  </si>
  <si>
    <t>Woek exp</t>
  </si>
  <si>
    <t>Fixed WORK EXP</t>
  </si>
  <si>
    <t>New Salary</t>
  </si>
  <si>
    <t>FIVE</t>
  </si>
  <si>
    <t>SIXTY</t>
  </si>
  <si>
    <t>IS NUMERIC</t>
  </si>
  <si>
    <t>Age</t>
  </si>
  <si>
    <t>check</t>
  </si>
  <si>
    <t>HarshvardhanSingh</t>
  </si>
  <si>
    <t>arshv</t>
  </si>
  <si>
    <t>harshvardhan singh</t>
  </si>
  <si>
    <t>HARSHVARDHAN SINGH</t>
  </si>
  <si>
    <t>Hbrordhan Singh</t>
  </si>
  <si>
    <t>Hsonuvardhan Singh</t>
  </si>
  <si>
    <t>ELIGIBLE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</si>
</sst>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/>
    <xf numFmtId="22" fontId="0" fillId="0" borderId="0" xfId="0" applyNumberFormat="1"/>
    <xf numFmtId="0" fontId="4" fillId="0" borderId="0" xfId="0" applyFont="1"/>
    <xf numFmtId="0" fontId="5" fillId="0" borderId="0" xfId="0" applyFont="1"/>
    <xf numFmtId="0" fontId="7" fillId="5" borderId="0" xfId="0" applyFont="1" applyFill="1"/>
    <xf numFmtId="0" fontId="0" fillId="0" borderId="0" xfId="0" applyFill="1"/>
    <xf numFmtId="0" fontId="5" fillId="0" borderId="0" xfId="0" applyFont="1" applyFill="1"/>
    <xf numFmtId="0" fontId="2" fillId="0" borderId="0" xfId="0" applyFont="1" applyFill="1"/>
    <xf numFmtId="0" fontId="4" fillId="0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Q286"/>
  <sheetViews>
    <sheetView topLeftCell="G225" workbookViewId="0">
      <selection activeCell="G249" sqref="G249"/>
    </sheetView>
  </sheetViews>
  <sheetFormatPr defaultRowHeight="15"/>
  <cols>
    <col min="3" max="3" width="10.140625" bestFit="1" customWidth="1"/>
    <col min="5" max="5" width="15.42578125" customWidth="1"/>
    <col min="6" max="6" width="13.28515625" customWidth="1"/>
    <col min="7" max="7" width="15.85546875" customWidth="1"/>
    <col min="8" max="8" width="16.28515625" style="8" customWidth="1"/>
    <col min="9" max="9" width="24.42578125" customWidth="1"/>
    <col min="10" max="10" width="26" customWidth="1"/>
    <col min="11" max="11" width="20.42578125" customWidth="1"/>
    <col min="12" max="12" width="21.28515625" customWidth="1"/>
    <col min="13" max="13" width="25.28515625" customWidth="1"/>
    <col min="14" max="14" width="15.5703125" bestFit="1" customWidth="1"/>
    <col min="15" max="15" width="19.5703125" customWidth="1"/>
    <col min="16" max="16" width="34.140625" bestFit="1" customWidth="1"/>
    <col min="17" max="17" width="16.140625" customWidth="1"/>
  </cols>
  <sheetData>
    <row r="2" spans="2:13">
      <c r="B2" s="1" t="s">
        <v>0</v>
      </c>
    </row>
    <row r="3" spans="2:13">
      <c r="C3">
        <v>548</v>
      </c>
      <c r="D3" s="1">
        <v>126</v>
      </c>
    </row>
    <row r="4" spans="2:13">
      <c r="C4">
        <v>548</v>
      </c>
      <c r="D4">
        <v>455</v>
      </c>
    </row>
    <row r="5" spans="2:13">
      <c r="C5">
        <v>548</v>
      </c>
      <c r="D5">
        <v>26</v>
      </c>
    </row>
    <row r="6" spans="2:13">
      <c r="C6">
        <v>548</v>
      </c>
      <c r="D6">
        <v>-403</v>
      </c>
    </row>
    <row r="7" spans="2:13">
      <c r="C7">
        <v>548</v>
      </c>
      <c r="D7">
        <v>-832</v>
      </c>
    </row>
    <row r="8" spans="2:13">
      <c r="C8">
        <v>548</v>
      </c>
      <c r="D8">
        <v>-1261</v>
      </c>
    </row>
    <row r="9" spans="2:13">
      <c r="C9">
        <v>548</v>
      </c>
      <c r="D9">
        <v>-1690</v>
      </c>
    </row>
    <row r="10" spans="2:13">
      <c r="C10">
        <v>548</v>
      </c>
      <c r="D10">
        <v>-2119</v>
      </c>
    </row>
    <row r="11" spans="2:13">
      <c r="C11">
        <v>548</v>
      </c>
      <c r="D11">
        <v>-2548</v>
      </c>
    </row>
    <row r="12" spans="2:13">
      <c r="C12">
        <v>548</v>
      </c>
      <c r="D12">
        <v>-2977</v>
      </c>
    </row>
    <row r="13" spans="2:13">
      <c r="C13">
        <v>548</v>
      </c>
      <c r="D13">
        <v>-3406</v>
      </c>
    </row>
    <row r="14" spans="2:13">
      <c r="C14">
        <v>548</v>
      </c>
      <c r="D14">
        <v>-3835</v>
      </c>
    </row>
    <row r="15" spans="2:13">
      <c r="G15" t="s">
        <v>0</v>
      </c>
      <c r="H15" s="8">
        <v>126</v>
      </c>
      <c r="I15" t="s">
        <v>0</v>
      </c>
      <c r="J15">
        <v>126</v>
      </c>
      <c r="K15" t="s">
        <v>0</v>
      </c>
      <c r="L15">
        <v>126</v>
      </c>
      <c r="M15" t="s">
        <v>0</v>
      </c>
    </row>
    <row r="16" spans="2:13">
      <c r="G16" t="s">
        <v>1</v>
      </c>
      <c r="H16" s="8">
        <v>456</v>
      </c>
      <c r="I16" t="s">
        <v>1</v>
      </c>
      <c r="J16">
        <v>456</v>
      </c>
      <c r="K16" t="s">
        <v>1</v>
      </c>
      <c r="L16">
        <v>456</v>
      </c>
      <c r="M16" t="s">
        <v>1</v>
      </c>
    </row>
    <row r="17" spans="7:15">
      <c r="G17" t="s">
        <v>2</v>
      </c>
      <c r="H17" s="8">
        <v>789</v>
      </c>
      <c r="I17" t="s">
        <v>2</v>
      </c>
      <c r="J17">
        <v>789</v>
      </c>
      <c r="K17" t="s">
        <v>2</v>
      </c>
      <c r="L17">
        <v>789</v>
      </c>
      <c r="M17" t="s">
        <v>2</v>
      </c>
    </row>
    <row r="18" spans="7:15">
      <c r="G18" t="s">
        <v>0</v>
      </c>
      <c r="H18" s="8">
        <v>1120</v>
      </c>
    </row>
    <row r="19" spans="7:15">
      <c r="G19" t="s">
        <v>1</v>
      </c>
      <c r="H19" s="8">
        <v>1451.5</v>
      </c>
    </row>
    <row r="20" spans="7:15">
      <c r="G20" t="s">
        <v>2</v>
      </c>
      <c r="H20" s="8">
        <v>1783</v>
      </c>
    </row>
    <row r="21" spans="7:15">
      <c r="G21" t="s">
        <v>0</v>
      </c>
      <c r="H21" s="8">
        <v>2114.5</v>
      </c>
      <c r="N21" s="2" t="s">
        <v>0</v>
      </c>
      <c r="O21" s="2" t="s">
        <v>0</v>
      </c>
    </row>
    <row r="22" spans="7:15">
      <c r="G22" t="s">
        <v>1</v>
      </c>
      <c r="H22" s="8">
        <v>2446</v>
      </c>
      <c r="O22" s="2"/>
    </row>
    <row r="23" spans="7:15">
      <c r="G23" t="s">
        <v>2</v>
      </c>
      <c r="H23" s="8">
        <v>2777.5</v>
      </c>
      <c r="M23" s="21" t="s">
        <v>1</v>
      </c>
      <c r="N23" s="21"/>
    </row>
    <row r="24" spans="7:15">
      <c r="G24" t="s">
        <v>0</v>
      </c>
      <c r="H24" s="8">
        <v>3109</v>
      </c>
    </row>
    <row r="25" spans="7:15">
      <c r="G25" t="s">
        <v>1</v>
      </c>
      <c r="H25" s="8">
        <v>3440.5</v>
      </c>
    </row>
    <row r="26" spans="7:15">
      <c r="G26" t="s">
        <v>2</v>
      </c>
      <c r="H26" s="8">
        <v>3772</v>
      </c>
    </row>
    <row r="27" spans="7:15">
      <c r="G27" t="s">
        <v>0</v>
      </c>
      <c r="H27" s="8">
        <v>4103.5</v>
      </c>
    </row>
    <row r="28" spans="7:15">
      <c r="G28" t="s">
        <v>1</v>
      </c>
      <c r="H28" s="8">
        <v>4435</v>
      </c>
    </row>
    <row r="29" spans="7:15">
      <c r="G29" t="s">
        <v>2</v>
      </c>
      <c r="H29" s="8">
        <v>4766.5</v>
      </c>
    </row>
    <row r="30" spans="7:15">
      <c r="G30" t="s">
        <v>0</v>
      </c>
      <c r="H30" s="8">
        <v>5098</v>
      </c>
    </row>
    <row r="31" spans="7:15">
      <c r="G31" t="s">
        <v>1</v>
      </c>
      <c r="H31" s="8">
        <v>5429.5</v>
      </c>
    </row>
    <row r="36" spans="5:15">
      <c r="E36" t="s">
        <v>3</v>
      </c>
      <c r="F36">
        <v>1</v>
      </c>
      <c r="G36">
        <v>3</v>
      </c>
      <c r="H36" s="8">
        <v>23</v>
      </c>
      <c r="I36">
        <v>23</v>
      </c>
      <c r="J36">
        <v>89</v>
      </c>
      <c r="K36">
        <v>23</v>
      </c>
      <c r="L36" s="8"/>
      <c r="M36">
        <f>SUM(F36,G36,H36,I36,J36,K36)</f>
        <v>162</v>
      </c>
      <c r="N36">
        <f>SUM(F36:K36)</f>
        <v>162</v>
      </c>
      <c r="O36">
        <f>SUM(F36:K36)</f>
        <v>162</v>
      </c>
    </row>
    <row r="37" spans="5:15">
      <c r="E37" t="s">
        <v>4</v>
      </c>
      <c r="F37">
        <v>23</v>
      </c>
      <c r="G37">
        <v>23</v>
      </c>
      <c r="H37" s="8">
        <v>76</v>
      </c>
      <c r="I37">
        <v>75</v>
      </c>
      <c r="J37">
        <v>54</v>
      </c>
      <c r="K37">
        <v>544</v>
      </c>
      <c r="M37">
        <f>AVERAGE(F37,G37,H37,I37,J37,K37)</f>
        <v>132.5</v>
      </c>
      <c r="N37">
        <f>AVERAGE(F37:K37)</f>
        <v>132.5</v>
      </c>
    </row>
    <row r="38" spans="5:15">
      <c r="E38" t="s">
        <v>5</v>
      </c>
    </row>
    <row r="39" spans="5:15">
      <c r="E39" t="s">
        <v>6</v>
      </c>
      <c r="F39">
        <v>34.67</v>
      </c>
      <c r="M39">
        <f>ROUND(F39,2)</f>
        <v>34.67</v>
      </c>
    </row>
    <row r="40" spans="5:15">
      <c r="E40" t="s">
        <v>7</v>
      </c>
      <c r="F40">
        <v>34.67</v>
      </c>
      <c r="M40">
        <f>ROUNDUP(F40,1)</f>
        <v>34.700000000000003</v>
      </c>
    </row>
    <row r="41" spans="5:15">
      <c r="E41" t="s">
        <v>8</v>
      </c>
      <c r="F41">
        <v>34.67</v>
      </c>
      <c r="M41">
        <f>ROUNDDOWN(F41,1)</f>
        <v>34.6</v>
      </c>
    </row>
    <row r="42" spans="5:15">
      <c r="E42" t="s">
        <v>9</v>
      </c>
      <c r="F42">
        <f ca="1">RAND()</f>
        <v>0.76591909580146922</v>
      </c>
    </row>
    <row r="43" spans="5:15">
      <c r="E43" t="s">
        <v>10</v>
      </c>
    </row>
    <row r="44" spans="5:15">
      <c r="E44" t="s">
        <v>11</v>
      </c>
      <c r="I44">
        <f ca="1">RANDBETWEEN(1,6)</f>
        <v>3</v>
      </c>
    </row>
    <row r="49" spans="6:15">
      <c r="F49">
        <v>23</v>
      </c>
      <c r="G49">
        <v>34</v>
      </c>
      <c r="H49" s="8">
        <v>45</v>
      </c>
      <c r="I49">
        <v>56</v>
      </c>
      <c r="J49">
        <v>67</v>
      </c>
      <c r="K49">
        <v>78</v>
      </c>
      <c r="N49" t="s">
        <v>3</v>
      </c>
      <c r="O49">
        <f>SUM(F49:F54,G49:G51,G55:J56,H58,J49:K52)</f>
        <v>1017</v>
      </c>
    </row>
    <row r="50" spans="6:15">
      <c r="F50">
        <v>32</v>
      </c>
      <c r="G50">
        <v>33</v>
      </c>
      <c r="H50" s="8">
        <v>54</v>
      </c>
      <c r="I50">
        <v>67</v>
      </c>
      <c r="J50">
        <v>33</v>
      </c>
      <c r="K50">
        <v>67</v>
      </c>
      <c r="N50" t="s">
        <v>12</v>
      </c>
      <c r="O50">
        <f>AVERAGE(F55:F57,H49:H54,K53:K58,J58,I57)</f>
        <v>35.705882352941174</v>
      </c>
    </row>
    <row r="51" spans="6:15">
      <c r="F51">
        <v>41</v>
      </c>
      <c r="G51">
        <v>32</v>
      </c>
      <c r="H51" s="8">
        <v>63</v>
      </c>
      <c r="I51">
        <v>78</v>
      </c>
      <c r="J51">
        <v>-1</v>
      </c>
      <c r="K51">
        <v>56</v>
      </c>
      <c r="N51" t="s">
        <v>10</v>
      </c>
      <c r="O51">
        <f>MIN(F49:K58)</f>
        <v>-239</v>
      </c>
    </row>
    <row r="52" spans="6:15">
      <c r="F52">
        <v>50</v>
      </c>
      <c r="G52">
        <v>31</v>
      </c>
      <c r="H52" s="8">
        <v>72</v>
      </c>
      <c r="I52">
        <v>89</v>
      </c>
      <c r="J52">
        <v>-35</v>
      </c>
      <c r="K52">
        <v>45</v>
      </c>
      <c r="N52" t="s">
        <v>5</v>
      </c>
      <c r="O52">
        <v>155</v>
      </c>
    </row>
    <row r="53" spans="6:15">
      <c r="F53">
        <v>59</v>
      </c>
      <c r="G53">
        <v>30</v>
      </c>
      <c r="H53" s="8">
        <v>81</v>
      </c>
      <c r="I53">
        <v>100</v>
      </c>
      <c r="J53">
        <v>-69</v>
      </c>
      <c r="K53">
        <v>34</v>
      </c>
    </row>
    <row r="54" spans="6:15">
      <c r="F54">
        <v>68</v>
      </c>
      <c r="G54">
        <v>29</v>
      </c>
      <c r="H54" s="8">
        <v>90</v>
      </c>
      <c r="I54">
        <v>111</v>
      </c>
      <c r="J54">
        <v>-103</v>
      </c>
      <c r="K54">
        <v>23</v>
      </c>
    </row>
    <row r="55" spans="6:15">
      <c r="F55">
        <v>77</v>
      </c>
      <c r="G55">
        <v>28</v>
      </c>
      <c r="H55" s="8">
        <v>99</v>
      </c>
      <c r="I55">
        <v>122</v>
      </c>
      <c r="J55">
        <v>-137</v>
      </c>
      <c r="K55">
        <v>12</v>
      </c>
    </row>
    <row r="56" spans="6:15">
      <c r="F56">
        <v>86</v>
      </c>
      <c r="G56">
        <v>27</v>
      </c>
      <c r="H56" s="8">
        <v>108</v>
      </c>
      <c r="I56">
        <v>133</v>
      </c>
      <c r="J56">
        <v>-171</v>
      </c>
      <c r="K56">
        <v>1</v>
      </c>
    </row>
    <row r="57" spans="6:15">
      <c r="F57">
        <v>95</v>
      </c>
      <c r="G57">
        <v>26</v>
      </c>
      <c r="H57" s="8">
        <v>117</v>
      </c>
      <c r="I57">
        <v>144</v>
      </c>
      <c r="J57">
        <v>-205</v>
      </c>
      <c r="K57">
        <v>-10</v>
      </c>
    </row>
    <row r="58" spans="6:15">
      <c r="F58">
        <v>104</v>
      </c>
      <c r="G58">
        <v>25</v>
      </c>
      <c r="H58" s="8">
        <v>126</v>
      </c>
      <c r="I58">
        <v>155</v>
      </c>
      <c r="J58">
        <v>-239</v>
      </c>
      <c r="K58">
        <v>-21</v>
      </c>
    </row>
    <row r="63" spans="6:15">
      <c r="F63" t="s">
        <v>13</v>
      </c>
      <c r="G63">
        <v>1</v>
      </c>
      <c r="H63" s="8">
        <v>1</v>
      </c>
      <c r="I63" t="s">
        <v>16</v>
      </c>
      <c r="J63" t="s">
        <v>16</v>
      </c>
      <c r="K63" t="s">
        <v>16</v>
      </c>
      <c r="M63">
        <f>COUNT(G63:K63)</f>
        <v>2</v>
      </c>
    </row>
    <row r="64" spans="6:15">
      <c r="F64" t="s">
        <v>14</v>
      </c>
      <c r="G64">
        <v>1</v>
      </c>
      <c r="H64" s="8">
        <v>1</v>
      </c>
      <c r="I64" t="s">
        <v>16</v>
      </c>
      <c r="J64" t="s">
        <v>16</v>
      </c>
      <c r="K64" t="s">
        <v>16</v>
      </c>
      <c r="M64">
        <f>COUNTA(G64:K64)</f>
        <v>5</v>
      </c>
    </row>
    <row r="65" spans="6:17">
      <c r="F65" t="s">
        <v>15</v>
      </c>
      <c r="G65">
        <v>10</v>
      </c>
      <c r="H65" s="8">
        <v>15</v>
      </c>
      <c r="I65">
        <v>20</v>
      </c>
      <c r="J65">
        <v>16</v>
      </c>
      <c r="K65">
        <v>18</v>
      </c>
      <c r="M65">
        <f>COUNTIF(G65:K65,"&gt;=18")</f>
        <v>2</v>
      </c>
    </row>
    <row r="70" spans="6:17">
      <c r="Q70">
        <f>COUNTA(G72:L81)</f>
        <v>60</v>
      </c>
    </row>
    <row r="72" spans="6:17">
      <c r="G72">
        <v>23</v>
      </c>
      <c r="H72" s="8">
        <v>34</v>
      </c>
      <c r="I72">
        <v>45</v>
      </c>
      <c r="J72">
        <v>56</v>
      </c>
      <c r="K72">
        <v>67</v>
      </c>
      <c r="L72">
        <v>78</v>
      </c>
      <c r="P72" t="s">
        <v>18</v>
      </c>
      <c r="Q72">
        <f>COUNT(G72:L81)</f>
        <v>56</v>
      </c>
    </row>
    <row r="73" spans="6:17">
      <c r="G73">
        <v>32</v>
      </c>
      <c r="H73" s="8">
        <v>33</v>
      </c>
      <c r="I73">
        <v>54</v>
      </c>
      <c r="J73">
        <v>67</v>
      </c>
      <c r="K73">
        <v>33</v>
      </c>
      <c r="L73">
        <v>67</v>
      </c>
      <c r="P73" t="s">
        <v>19</v>
      </c>
      <c r="Q73">
        <f>COUNTA(G72:L81)</f>
        <v>60</v>
      </c>
    </row>
    <row r="74" spans="6:17">
      <c r="G74">
        <v>41</v>
      </c>
      <c r="H74" s="8">
        <v>32</v>
      </c>
      <c r="I74">
        <v>63</v>
      </c>
      <c r="J74">
        <v>78</v>
      </c>
      <c r="K74">
        <v>-1</v>
      </c>
      <c r="L74">
        <v>56</v>
      </c>
      <c r="P74" t="s">
        <v>20</v>
      </c>
      <c r="Q74">
        <f>COUNTIF(G72:L81,"&gt;=100")</f>
        <v>10</v>
      </c>
    </row>
    <row r="75" spans="6:17">
      <c r="G75" t="s">
        <v>17</v>
      </c>
      <c r="H75" s="8">
        <v>31</v>
      </c>
      <c r="I75" t="s">
        <v>17</v>
      </c>
      <c r="J75">
        <v>89</v>
      </c>
      <c r="K75">
        <v>-35</v>
      </c>
      <c r="L75">
        <v>45</v>
      </c>
      <c r="P75" t="s">
        <v>21</v>
      </c>
      <c r="Q75">
        <f>COUNTIF(G72:L81,"&lt;=0")</f>
        <v>9</v>
      </c>
    </row>
    <row r="76" spans="6:17">
      <c r="G76">
        <v>59</v>
      </c>
      <c r="H76" s="8">
        <v>30</v>
      </c>
      <c r="I76">
        <v>81</v>
      </c>
      <c r="J76">
        <v>100</v>
      </c>
      <c r="K76">
        <v>-69</v>
      </c>
      <c r="L76">
        <v>34</v>
      </c>
      <c r="P76" t="s">
        <v>22</v>
      </c>
      <c r="Q76">
        <f>COUNTIF(G72:L81,"&gt;=18")</f>
        <v>45</v>
      </c>
    </row>
    <row r="77" spans="6:17">
      <c r="G77">
        <v>68</v>
      </c>
      <c r="H77" s="8">
        <v>29</v>
      </c>
      <c r="I77">
        <v>90</v>
      </c>
      <c r="J77">
        <v>111</v>
      </c>
      <c r="K77">
        <v>-103</v>
      </c>
      <c r="L77">
        <v>23</v>
      </c>
      <c r="P77" t="s">
        <v>23</v>
      </c>
      <c r="Q77" s="3">
        <f>SUM(COUNTIF(G72:L81,"&gt;=100"),COUNTIF(G72:L81,"&lt;0"))</f>
        <v>19</v>
      </c>
    </row>
    <row r="78" spans="6:17">
      <c r="G78">
        <v>77</v>
      </c>
      <c r="H78" s="8" t="s">
        <v>17</v>
      </c>
      <c r="I78">
        <v>99</v>
      </c>
      <c r="J78">
        <v>122</v>
      </c>
      <c r="K78" t="s">
        <v>17</v>
      </c>
      <c r="L78">
        <v>12</v>
      </c>
    </row>
    <row r="79" spans="6:17">
      <c r="G79">
        <v>86</v>
      </c>
      <c r="H79" s="8">
        <v>27</v>
      </c>
      <c r="I79">
        <v>108</v>
      </c>
      <c r="J79">
        <v>133</v>
      </c>
      <c r="K79">
        <v>-171</v>
      </c>
      <c r="L79">
        <v>1</v>
      </c>
    </row>
    <row r="80" spans="6:17">
      <c r="G80">
        <v>95</v>
      </c>
      <c r="H80" s="8">
        <v>26</v>
      </c>
      <c r="I80">
        <v>117</v>
      </c>
      <c r="J80">
        <v>144</v>
      </c>
      <c r="K80">
        <v>-205</v>
      </c>
      <c r="L80">
        <v>-10</v>
      </c>
    </row>
    <row r="81" spans="5:14">
      <c r="G81">
        <v>104</v>
      </c>
      <c r="H81" s="8">
        <v>25</v>
      </c>
      <c r="I81">
        <v>126</v>
      </c>
      <c r="J81">
        <v>155</v>
      </c>
      <c r="K81">
        <v>-239</v>
      </c>
      <c r="L81">
        <v>-21</v>
      </c>
    </row>
    <row r="85" spans="5:14">
      <c r="E85" s="6"/>
    </row>
    <row r="86" spans="5:14">
      <c r="M86" t="s">
        <v>24</v>
      </c>
      <c r="N86" s="4">
        <f ca="1">NOW()</f>
        <v>45911.688394907411</v>
      </c>
    </row>
    <row r="88" spans="5:14">
      <c r="H88" s="22" t="s">
        <v>25</v>
      </c>
      <c r="I88" s="22"/>
      <c r="J88" s="22"/>
      <c r="K88" s="22"/>
      <c r="L88" s="22"/>
    </row>
    <row r="89" spans="5:14">
      <c r="H89" s="9" t="s">
        <v>26</v>
      </c>
      <c r="I89" s="23" t="s">
        <v>37</v>
      </c>
      <c r="J89" s="23"/>
      <c r="K89" s="23"/>
      <c r="L89" s="23"/>
    </row>
    <row r="90" spans="5:14">
      <c r="H90" s="10" t="s">
        <v>41</v>
      </c>
      <c r="I90" t="s">
        <v>38</v>
      </c>
      <c r="J90" t="s">
        <v>39</v>
      </c>
      <c r="L90" t="s">
        <v>103</v>
      </c>
      <c r="M90" t="str">
        <f>CONCATENATE(I90,J90)</f>
        <v>HarshvardhanSingh</v>
      </c>
    </row>
    <row r="91" spans="5:14">
      <c r="H91" s="8" t="s">
        <v>27</v>
      </c>
      <c r="I91" t="s">
        <v>40</v>
      </c>
      <c r="L91" t="s">
        <v>66</v>
      </c>
      <c r="M91" t="str">
        <f>LEFT(I91,5)</f>
        <v>Harsh</v>
      </c>
    </row>
    <row r="92" spans="5:14">
      <c r="H92" s="8" t="s">
        <v>28</v>
      </c>
      <c r="I92" t="s">
        <v>40</v>
      </c>
      <c r="L92" t="s">
        <v>66</v>
      </c>
      <c r="M92" t="str">
        <f>RIGHT(I92,4)</f>
        <v>ingh</v>
      </c>
    </row>
    <row r="93" spans="5:14">
      <c r="H93" s="8" t="s">
        <v>29</v>
      </c>
      <c r="I93" t="s">
        <v>40</v>
      </c>
      <c r="L93">
        <v>18</v>
      </c>
      <c r="M93">
        <f>LEN(I93)</f>
        <v>18</v>
      </c>
    </row>
    <row r="94" spans="5:14">
      <c r="H94" s="8" t="s">
        <v>30</v>
      </c>
      <c r="I94" t="s">
        <v>40</v>
      </c>
      <c r="L94" t="s">
        <v>104</v>
      </c>
      <c r="M94" t="str">
        <f>MID(I94,3,4)</f>
        <v>rshv</v>
      </c>
    </row>
    <row r="95" spans="5:14">
      <c r="H95" s="8" t="s">
        <v>31</v>
      </c>
      <c r="I95" t="s">
        <v>40</v>
      </c>
      <c r="L95" t="s">
        <v>105</v>
      </c>
      <c r="M95" t="str">
        <f>LOWER(I95)</f>
        <v>harshvardhan singh</v>
      </c>
    </row>
    <row r="96" spans="5:14">
      <c r="H96" s="8" t="s">
        <v>32</v>
      </c>
      <c r="I96" t="s">
        <v>40</v>
      </c>
      <c r="L96" t="s">
        <v>106</v>
      </c>
      <c r="M96" t="str">
        <f>UPPER(I96)</f>
        <v>HARSHVARDHAN SINGH</v>
      </c>
    </row>
    <row r="97" spans="6:13">
      <c r="H97" s="8" t="s">
        <v>33</v>
      </c>
      <c r="I97" t="s">
        <v>42</v>
      </c>
      <c r="L97" t="s">
        <v>40</v>
      </c>
      <c r="M97" t="str">
        <f>TRIM(I97)</f>
        <v>Harshvardhan singh</v>
      </c>
    </row>
    <row r="98" spans="6:13">
      <c r="H98" s="11" t="s">
        <v>34</v>
      </c>
      <c r="I98" s="5" t="s">
        <v>40</v>
      </c>
      <c r="L98">
        <v>4</v>
      </c>
      <c r="M98">
        <f>SEARCH("a",I98)</f>
        <v>2</v>
      </c>
    </row>
    <row r="99" spans="6:13">
      <c r="H99" s="8" t="s">
        <v>35</v>
      </c>
      <c r="I99" t="s">
        <v>40</v>
      </c>
      <c r="L99" t="s">
        <v>107</v>
      </c>
      <c r="M99" t="str">
        <f>REPLACE(I99,3,6,"sonu")</f>
        <v>Hasonudhan Singh</v>
      </c>
    </row>
    <row r="100" spans="6:13">
      <c r="H100" s="8" t="s">
        <v>36</v>
      </c>
      <c r="I100" t="s">
        <v>40</v>
      </c>
      <c r="L100" t="s">
        <v>108</v>
      </c>
      <c r="M100" t="str">
        <f>SUBSTITUTE(I100,"var","ghbhyg")</f>
        <v>Harshghbhygdhan Singh</v>
      </c>
    </row>
    <row r="101" spans="6:13">
      <c r="H101" s="8" t="s">
        <v>44</v>
      </c>
      <c r="I101" t="s">
        <v>46</v>
      </c>
      <c r="L101" t="s">
        <v>40</v>
      </c>
      <c r="M101" t="str">
        <f>PROPER(I101)</f>
        <v>Harshvardhan Singh</v>
      </c>
    </row>
    <row r="102" spans="6:13">
      <c r="H102" s="8" t="s">
        <v>43</v>
      </c>
      <c r="I102" t="s">
        <v>40</v>
      </c>
      <c r="L102">
        <v>5</v>
      </c>
      <c r="M102">
        <f>FIND("va",I102)</f>
        <v>6</v>
      </c>
    </row>
    <row r="103" spans="6:13">
      <c r="H103" s="8" t="s">
        <v>45</v>
      </c>
      <c r="I103" t="s">
        <v>40</v>
      </c>
      <c r="L103" t="b">
        <v>0</v>
      </c>
      <c r="M103" t="b">
        <f>EXACT(I103,I97)</f>
        <v>0</v>
      </c>
    </row>
    <row r="104" spans="6:13">
      <c r="H104" s="8" t="s">
        <v>47</v>
      </c>
      <c r="I104" t="s">
        <v>40</v>
      </c>
      <c r="J104" t="s">
        <v>38</v>
      </c>
      <c r="K104" t="s">
        <v>39</v>
      </c>
    </row>
    <row r="105" spans="6:13">
      <c r="H105"/>
    </row>
    <row r="107" spans="6:13">
      <c r="F107" t="s">
        <v>38</v>
      </c>
      <c r="G107" s="8" t="s">
        <v>39</v>
      </c>
    </row>
    <row r="109" spans="6:13">
      <c r="I109" t="s">
        <v>48</v>
      </c>
      <c r="J109" t="s">
        <v>49</v>
      </c>
      <c r="K109" t="s">
        <v>50</v>
      </c>
      <c r="L109" t="s">
        <v>51</v>
      </c>
    </row>
    <row r="111" spans="6:13">
      <c r="H111" s="8" t="s">
        <v>52</v>
      </c>
      <c r="I111" t="s">
        <v>53</v>
      </c>
      <c r="J111" t="s">
        <v>54</v>
      </c>
    </row>
    <row r="112" spans="6:13">
      <c r="H112" s="8" t="s">
        <v>55</v>
      </c>
      <c r="I112" t="s">
        <v>56</v>
      </c>
      <c r="J112" t="str">
        <f>PROPER(TRIM(CONCATENATE(H112,I112)))</f>
        <v>Harshvardhan Singh</v>
      </c>
      <c r="K112" t="str">
        <f>CONCATENATE(H112,I112)</f>
        <v xml:space="preserve">   harshvardhan    singh</v>
      </c>
      <c r="L112" t="str">
        <f>TRIM(K112)</f>
        <v>harshvardhan singh</v>
      </c>
      <c r="M112" t="str">
        <f>PROPER(L112)</f>
        <v>Harshvardhan Singh</v>
      </c>
    </row>
    <row r="113" spans="8:14">
      <c r="H113" s="8" t="s">
        <v>57</v>
      </c>
      <c r="I113" t="s">
        <v>58</v>
      </c>
      <c r="J113" t="str">
        <f t="shared" ref="J113:J114" si="0">PROPER(TRIM(CONCATENATE(H113,I113)))</f>
        <v>Abhijeet Sharma</v>
      </c>
      <c r="K113" t="str">
        <f t="shared" ref="K113:K114" si="1">CONCATENATE(H113,I113)</f>
        <v xml:space="preserve">  abhijeet      sharma</v>
      </c>
      <c r="L113" t="str">
        <f t="shared" ref="L113:L114" si="2">TRIM(K113)</f>
        <v>abhijeet sharma</v>
      </c>
      <c r="M113" t="str">
        <f t="shared" ref="M113:M114" si="3">PROPER(L113)</f>
        <v>Abhijeet Sharma</v>
      </c>
    </row>
    <row r="114" spans="8:14">
      <c r="H114" s="8" t="s">
        <v>59</v>
      </c>
      <c r="I114" t="s">
        <v>60</v>
      </c>
      <c r="J114" t="str">
        <f t="shared" si="0"/>
        <v>Vidit Dixit</v>
      </c>
      <c r="K114" t="str">
        <f t="shared" si="1"/>
        <v>vidit       dixit</v>
      </c>
      <c r="L114" t="str">
        <f t="shared" si="2"/>
        <v>vidit dixit</v>
      </c>
      <c r="M114" t="str">
        <f t="shared" si="3"/>
        <v>Vidit Dixit</v>
      </c>
    </row>
    <row r="118" spans="8:14" s="7" customFormat="1">
      <c r="H118" s="7" t="s">
        <v>52</v>
      </c>
      <c r="I118" s="7" t="s">
        <v>53</v>
      </c>
      <c r="J118" s="7" t="s">
        <v>54</v>
      </c>
      <c r="K118" s="7" t="s">
        <v>61</v>
      </c>
      <c r="L118" s="7" t="s">
        <v>63</v>
      </c>
      <c r="M118" s="7" t="s">
        <v>64</v>
      </c>
    </row>
    <row r="119" spans="8:14">
      <c r="H119" s="8" t="s">
        <v>55</v>
      </c>
      <c r="I119" t="s">
        <v>56</v>
      </c>
      <c r="J119" t="str">
        <f>PROPER(TRIM(CONCATENATE(H119,I119)))</f>
        <v>Harshvardhan Singh</v>
      </c>
      <c r="K119">
        <v>26</v>
      </c>
      <c r="L119">
        <f>IF(ISNUMBER(K119),K119,-1)</f>
        <v>26</v>
      </c>
      <c r="M119" t="str">
        <f>IF(L119&gt;20,"ADULT",-1)</f>
        <v>ADULT</v>
      </c>
      <c r="N119" t="str">
        <f>IF(M119&gt;20,"ADULT",-1)</f>
        <v>ADULT</v>
      </c>
    </row>
    <row r="120" spans="8:14">
      <c r="H120" s="8" t="s">
        <v>57</v>
      </c>
      <c r="I120" t="s">
        <v>58</v>
      </c>
      <c r="J120" t="str">
        <f t="shared" ref="J120:J137" si="4">PROPER(TRIM(CONCATENATE(H120,I120)))</f>
        <v>Abhijeet Sharma</v>
      </c>
      <c r="K120" t="s">
        <v>62</v>
      </c>
      <c r="L120">
        <f t="shared" ref="L120:L137" si="5">IF(ISNUMBER(K120),K120,-1)</f>
        <v>-1</v>
      </c>
      <c r="M120">
        <f t="shared" ref="M120:M137" si="6">IF(L120&gt;20,"ADULT",-1)</f>
        <v>-1</v>
      </c>
      <c r="N120">
        <f t="shared" ref="N120:N121" si="7">IF(M120&gt;20,"ADULT",-1)</f>
        <v>-1</v>
      </c>
    </row>
    <row r="121" spans="8:14">
      <c r="H121" s="8" t="s">
        <v>59</v>
      </c>
      <c r="I121" t="s">
        <v>60</v>
      </c>
      <c r="J121" t="str">
        <f t="shared" si="4"/>
        <v>Vidit Dixit</v>
      </c>
      <c r="K121">
        <v>58</v>
      </c>
      <c r="L121">
        <f t="shared" si="5"/>
        <v>58</v>
      </c>
      <c r="M121" t="str">
        <f t="shared" si="6"/>
        <v>ADULT</v>
      </c>
      <c r="N121" t="str">
        <f t="shared" si="7"/>
        <v>ADULT</v>
      </c>
    </row>
    <row r="122" spans="8:14">
      <c r="H122" s="8" t="s">
        <v>55</v>
      </c>
      <c r="I122" t="s">
        <v>56</v>
      </c>
      <c r="J122" t="str">
        <f t="shared" si="4"/>
        <v>Harshvardhan Singh</v>
      </c>
      <c r="K122">
        <v>27</v>
      </c>
      <c r="L122">
        <f t="shared" si="5"/>
        <v>27</v>
      </c>
      <c r="M122" t="str">
        <f t="shared" si="6"/>
        <v>ADULT</v>
      </c>
    </row>
    <row r="123" spans="8:14">
      <c r="H123" s="8" t="s">
        <v>57</v>
      </c>
      <c r="I123" t="s">
        <v>58</v>
      </c>
      <c r="J123" t="str">
        <f t="shared" si="4"/>
        <v>Abhijeet Sharma</v>
      </c>
      <c r="K123" t="s">
        <v>62</v>
      </c>
      <c r="L123">
        <f t="shared" si="5"/>
        <v>-1</v>
      </c>
      <c r="M123">
        <f t="shared" si="6"/>
        <v>-1</v>
      </c>
    </row>
    <row r="124" spans="8:14">
      <c r="H124" s="8" t="s">
        <v>59</v>
      </c>
      <c r="I124" t="s">
        <v>60</v>
      </c>
      <c r="J124" t="str">
        <f t="shared" si="4"/>
        <v>Vidit Dixit</v>
      </c>
      <c r="K124">
        <v>59</v>
      </c>
      <c r="L124">
        <f t="shared" si="5"/>
        <v>59</v>
      </c>
      <c r="M124" t="str">
        <f t="shared" si="6"/>
        <v>ADULT</v>
      </c>
    </row>
    <row r="125" spans="8:14">
      <c r="H125" s="8" t="s">
        <v>55</v>
      </c>
      <c r="I125" t="s">
        <v>56</v>
      </c>
      <c r="J125" t="str">
        <f t="shared" si="4"/>
        <v>Harshvardhan Singh</v>
      </c>
      <c r="K125">
        <v>2</v>
      </c>
      <c r="L125">
        <f t="shared" si="5"/>
        <v>2</v>
      </c>
      <c r="M125">
        <f t="shared" si="6"/>
        <v>-1</v>
      </c>
    </row>
    <row r="126" spans="8:14">
      <c r="H126" s="8" t="s">
        <v>57</v>
      </c>
      <c r="I126" t="s">
        <v>58</v>
      </c>
      <c r="J126" t="str">
        <f t="shared" si="4"/>
        <v>Abhijeet Sharma</v>
      </c>
      <c r="K126" t="s">
        <v>62</v>
      </c>
      <c r="L126">
        <f t="shared" si="5"/>
        <v>-1</v>
      </c>
      <c r="M126">
        <f t="shared" si="6"/>
        <v>-1</v>
      </c>
    </row>
    <row r="127" spans="8:14">
      <c r="H127" s="8" t="s">
        <v>59</v>
      </c>
      <c r="I127" t="s">
        <v>60</v>
      </c>
      <c r="J127" t="str">
        <f t="shared" si="4"/>
        <v>Vidit Dixit</v>
      </c>
      <c r="K127">
        <v>6</v>
      </c>
      <c r="L127">
        <f t="shared" si="5"/>
        <v>6</v>
      </c>
      <c r="M127">
        <f t="shared" si="6"/>
        <v>-1</v>
      </c>
    </row>
    <row r="128" spans="8:14">
      <c r="H128" s="8" t="s">
        <v>55</v>
      </c>
      <c r="I128" t="s">
        <v>56</v>
      </c>
      <c r="J128" t="str">
        <f t="shared" si="4"/>
        <v>Harshvardhan Singh</v>
      </c>
      <c r="K128">
        <v>21</v>
      </c>
      <c r="L128">
        <f t="shared" si="5"/>
        <v>21</v>
      </c>
      <c r="M128" t="str">
        <f t="shared" si="6"/>
        <v>ADULT</v>
      </c>
    </row>
    <row r="129" spans="8:13">
      <c r="H129" s="8" t="s">
        <v>57</v>
      </c>
      <c r="I129" t="s">
        <v>58</v>
      </c>
      <c r="J129" t="str">
        <f t="shared" si="4"/>
        <v>Abhijeet Sharma</v>
      </c>
      <c r="K129" t="s">
        <v>62</v>
      </c>
      <c r="L129">
        <f t="shared" si="5"/>
        <v>-1</v>
      </c>
      <c r="M129">
        <f t="shared" si="6"/>
        <v>-1</v>
      </c>
    </row>
    <row r="130" spans="8:13">
      <c r="H130" s="8" t="s">
        <v>59</v>
      </c>
      <c r="I130" t="s">
        <v>60</v>
      </c>
      <c r="J130" t="str">
        <f t="shared" si="4"/>
        <v>Vidit Dixit</v>
      </c>
      <c r="K130">
        <v>61</v>
      </c>
      <c r="L130">
        <f t="shared" si="5"/>
        <v>61</v>
      </c>
      <c r="M130" t="str">
        <f t="shared" si="6"/>
        <v>ADULT</v>
      </c>
    </row>
    <row r="131" spans="8:13">
      <c r="H131" s="8" t="s">
        <v>55</v>
      </c>
      <c r="I131" t="s">
        <v>56</v>
      </c>
      <c r="J131" t="str">
        <f>PROPER(TRIM(CONCATENATE(H131,I131)))</f>
        <v>Harshvardhan Singh</v>
      </c>
      <c r="K131">
        <v>3</v>
      </c>
      <c r="L131">
        <f t="shared" si="5"/>
        <v>3</v>
      </c>
      <c r="M131">
        <f t="shared" si="6"/>
        <v>-1</v>
      </c>
    </row>
    <row r="132" spans="8:13">
      <c r="H132" s="8" t="s">
        <v>57</v>
      </c>
      <c r="I132" t="s">
        <v>58</v>
      </c>
      <c r="J132" t="str">
        <f t="shared" si="4"/>
        <v>Abhijeet Sharma</v>
      </c>
      <c r="K132" t="s">
        <v>62</v>
      </c>
      <c r="L132">
        <f t="shared" si="5"/>
        <v>-1</v>
      </c>
      <c r="M132">
        <f t="shared" si="6"/>
        <v>-1</v>
      </c>
    </row>
    <row r="133" spans="8:13">
      <c r="H133" s="8" t="s">
        <v>59</v>
      </c>
      <c r="I133" t="s">
        <v>60</v>
      </c>
      <c r="J133" t="str">
        <f t="shared" si="4"/>
        <v>Vidit Dixit</v>
      </c>
      <c r="K133">
        <v>62</v>
      </c>
      <c r="L133">
        <f t="shared" si="5"/>
        <v>62</v>
      </c>
      <c r="M133" t="str">
        <f t="shared" si="6"/>
        <v>ADULT</v>
      </c>
    </row>
    <row r="134" spans="8:13">
      <c r="H134" s="8" t="s">
        <v>55</v>
      </c>
      <c r="I134" t="s">
        <v>56</v>
      </c>
      <c r="J134" t="str">
        <f t="shared" si="4"/>
        <v>Harshvardhan Singh</v>
      </c>
      <c r="K134">
        <v>3</v>
      </c>
      <c r="L134">
        <f t="shared" si="5"/>
        <v>3</v>
      </c>
      <c r="M134">
        <f t="shared" si="6"/>
        <v>-1</v>
      </c>
    </row>
    <row r="135" spans="8:13">
      <c r="H135" s="8" t="s">
        <v>57</v>
      </c>
      <c r="I135" t="s">
        <v>58</v>
      </c>
      <c r="J135" t="str">
        <f t="shared" si="4"/>
        <v>Abhijeet Sharma</v>
      </c>
      <c r="K135" t="s">
        <v>62</v>
      </c>
      <c r="L135">
        <f t="shared" si="5"/>
        <v>-1</v>
      </c>
      <c r="M135">
        <f t="shared" si="6"/>
        <v>-1</v>
      </c>
    </row>
    <row r="136" spans="8:13">
      <c r="H136" s="8" t="s">
        <v>59</v>
      </c>
      <c r="I136" t="s">
        <v>60</v>
      </c>
      <c r="J136" t="str">
        <f t="shared" si="4"/>
        <v>Vidit Dixit</v>
      </c>
      <c r="K136">
        <v>63</v>
      </c>
      <c r="L136">
        <f t="shared" si="5"/>
        <v>63</v>
      </c>
      <c r="M136" t="str">
        <f t="shared" si="6"/>
        <v>ADULT</v>
      </c>
    </row>
    <row r="137" spans="8:13">
      <c r="H137" s="8" t="s">
        <v>55</v>
      </c>
      <c r="I137" t="s">
        <v>56</v>
      </c>
      <c r="J137" t="str">
        <f t="shared" si="4"/>
        <v>Harshvardhan Singh</v>
      </c>
      <c r="K137">
        <v>2</v>
      </c>
      <c r="L137">
        <f t="shared" si="5"/>
        <v>2</v>
      </c>
      <c r="M137">
        <f t="shared" si="6"/>
        <v>-1</v>
      </c>
    </row>
    <row r="143" spans="8:13">
      <c r="H143" s="12" t="s">
        <v>65</v>
      </c>
      <c r="I143" s="17" t="s">
        <v>74</v>
      </c>
      <c r="J143" s="13" t="s">
        <v>75</v>
      </c>
      <c r="K143" s="12" t="s">
        <v>61</v>
      </c>
      <c r="L143" s="16" t="s">
        <v>86</v>
      </c>
      <c r="M143" s="14" t="s">
        <v>93</v>
      </c>
    </row>
    <row r="144" spans="8:13">
      <c r="H144" s="12" t="s">
        <v>66</v>
      </c>
      <c r="I144" s="17" t="s">
        <v>66</v>
      </c>
      <c r="J144" s="13"/>
      <c r="K144" s="12">
        <v>25</v>
      </c>
      <c r="L144" s="16" t="str">
        <f>IF(ISBLANK(J144),"-",J144)</f>
        <v>-</v>
      </c>
      <c r="M144" s="14">
        <v>25</v>
      </c>
    </row>
    <row r="145" spans="8:14">
      <c r="H145" s="12" t="s">
        <v>67</v>
      </c>
      <c r="I145" s="17" t="s">
        <v>66</v>
      </c>
      <c r="J145" s="13" t="s">
        <v>39</v>
      </c>
      <c r="K145" s="12">
        <v>25</v>
      </c>
      <c r="L145" s="16" t="str">
        <f t="shared" ref="L145:L155" si="8">IF(ISBLANK(J145),"-",J145)</f>
        <v>Singh</v>
      </c>
      <c r="M145" s="14">
        <v>25</v>
      </c>
    </row>
    <row r="146" spans="8:14">
      <c r="H146" s="12" t="s">
        <v>68</v>
      </c>
      <c r="I146" s="17" t="s">
        <v>76</v>
      </c>
      <c r="J146" s="13" t="s">
        <v>77</v>
      </c>
      <c r="K146" s="12"/>
      <c r="L146" s="16" t="str">
        <f t="shared" si="8"/>
        <v>Kumar</v>
      </c>
      <c r="M146" s="14">
        <v>21</v>
      </c>
    </row>
    <row r="147" spans="8:14">
      <c r="H147" s="12" t="s">
        <v>69</v>
      </c>
      <c r="I147" s="17" t="s">
        <v>78</v>
      </c>
      <c r="J147" s="13" t="s">
        <v>79</v>
      </c>
      <c r="K147" s="12">
        <v>18</v>
      </c>
      <c r="L147" s="16" t="str">
        <f t="shared" si="8"/>
        <v>Jha</v>
      </c>
      <c r="M147" s="14">
        <v>18</v>
      </c>
    </row>
    <row r="148" spans="8:14">
      <c r="H148" s="12" t="s">
        <v>87</v>
      </c>
      <c r="I148" s="17" t="s">
        <v>78</v>
      </c>
      <c r="J148" s="13"/>
      <c r="K148" s="12">
        <v>18</v>
      </c>
      <c r="L148" s="16" t="str">
        <f t="shared" si="8"/>
        <v>-</v>
      </c>
      <c r="M148" s="14">
        <v>18</v>
      </c>
    </row>
    <row r="149" spans="8:14">
      <c r="H149" s="12" t="s">
        <v>70</v>
      </c>
      <c r="I149" s="17" t="s">
        <v>80</v>
      </c>
      <c r="J149" s="13" t="s">
        <v>81</v>
      </c>
      <c r="K149" s="12">
        <v>17</v>
      </c>
      <c r="L149" s="16" t="str">
        <f t="shared" si="8"/>
        <v>Bajpai</v>
      </c>
      <c r="M149" s="14">
        <v>17</v>
      </c>
    </row>
    <row r="150" spans="8:14">
      <c r="H150" s="12" t="s">
        <v>71</v>
      </c>
      <c r="I150" s="17" t="s">
        <v>82</v>
      </c>
      <c r="J150" s="13" t="s">
        <v>39</v>
      </c>
      <c r="K150" s="12"/>
      <c r="L150" s="16" t="str">
        <f t="shared" si="8"/>
        <v>Singh</v>
      </c>
      <c r="M150" s="14">
        <v>21</v>
      </c>
    </row>
    <row r="151" spans="8:14">
      <c r="H151" s="12" t="s">
        <v>72</v>
      </c>
      <c r="I151" s="17" t="s">
        <v>83</v>
      </c>
      <c r="J151" s="13" t="s">
        <v>39</v>
      </c>
      <c r="K151" s="12">
        <v>22</v>
      </c>
      <c r="L151" s="16" t="str">
        <f t="shared" si="8"/>
        <v>Singh</v>
      </c>
      <c r="M151" s="14">
        <v>22</v>
      </c>
    </row>
    <row r="152" spans="8:14">
      <c r="H152" s="12" t="s">
        <v>73</v>
      </c>
      <c r="I152" s="17" t="s">
        <v>84</v>
      </c>
      <c r="J152" s="13" t="s">
        <v>85</v>
      </c>
      <c r="K152" s="12"/>
      <c r="L152" s="16" t="str">
        <f t="shared" si="8"/>
        <v>Srivastav</v>
      </c>
      <c r="M152" s="14">
        <v>21</v>
      </c>
    </row>
    <row r="153" spans="8:14">
      <c r="H153" s="12" t="s">
        <v>1</v>
      </c>
      <c r="I153" s="17" t="s">
        <v>1</v>
      </c>
      <c r="J153" s="13"/>
      <c r="K153" s="12"/>
      <c r="L153" s="16" t="str">
        <f t="shared" si="8"/>
        <v>-</v>
      </c>
      <c r="M153" s="14">
        <v>21</v>
      </c>
    </row>
    <row r="154" spans="8:14">
      <c r="H154" s="12" t="s">
        <v>88</v>
      </c>
      <c r="I154" s="17" t="s">
        <v>1</v>
      </c>
      <c r="J154" s="13" t="s">
        <v>90</v>
      </c>
      <c r="K154" s="12">
        <v>24</v>
      </c>
      <c r="L154" s="16" t="str">
        <f t="shared" si="8"/>
        <v>partap</v>
      </c>
      <c r="M154" s="14">
        <v>24</v>
      </c>
    </row>
    <row r="155" spans="8:14">
      <c r="H155" s="12" t="s">
        <v>89</v>
      </c>
      <c r="I155" s="17" t="s">
        <v>91</v>
      </c>
      <c r="J155" s="13" t="s">
        <v>92</v>
      </c>
      <c r="K155" s="12"/>
      <c r="L155" s="16" t="str">
        <f t="shared" si="8"/>
        <v>shingh</v>
      </c>
      <c r="M155" s="14">
        <v>21</v>
      </c>
    </row>
    <row r="156" spans="8:14">
      <c r="K156" s="8">
        <f>ROUND(AVERAGE(K144:K155),0)</f>
        <v>21</v>
      </c>
      <c r="L156" s="8"/>
      <c r="M156" s="8"/>
    </row>
    <row r="157" spans="8:14">
      <c r="M157" s="8"/>
    </row>
    <row r="158" spans="8:14">
      <c r="J158" s="18" t="s">
        <v>94</v>
      </c>
      <c r="K158" s="13" t="s">
        <v>95</v>
      </c>
      <c r="L158" s="12" t="s">
        <v>96</v>
      </c>
      <c r="M158" s="20" t="s">
        <v>97</v>
      </c>
    </row>
    <row r="159" spans="8:14">
      <c r="J159" s="18">
        <v>40000</v>
      </c>
      <c r="K159" s="13">
        <v>1</v>
      </c>
      <c r="L159" s="12">
        <v>1</v>
      </c>
      <c r="M159" s="20">
        <v>40000</v>
      </c>
      <c r="N159">
        <f>IF(ISNUMBER(J159),J159,$J$169)</f>
        <v>40000</v>
      </c>
    </row>
    <row r="160" spans="8:14">
      <c r="J160" s="18">
        <v>20000</v>
      </c>
      <c r="K160" s="13">
        <v>2</v>
      </c>
      <c r="L160" s="12">
        <v>2</v>
      </c>
      <c r="M160" s="20">
        <v>20000</v>
      </c>
      <c r="N160">
        <f t="shared" ref="N160:N166" si="9">IF(ISNUMBER(J160),J160,$J$169)</f>
        <v>20000</v>
      </c>
    </row>
    <row r="161" spans="8:14">
      <c r="J161" s="18">
        <v>19000</v>
      </c>
      <c r="K161" s="13">
        <v>2</v>
      </c>
      <c r="L161" s="12">
        <v>2</v>
      </c>
      <c r="M161" s="20">
        <v>19000</v>
      </c>
      <c r="N161">
        <f t="shared" si="9"/>
        <v>19000</v>
      </c>
    </row>
    <row r="162" spans="8:14">
      <c r="J162" s="18"/>
      <c r="K162" s="13"/>
      <c r="L162" s="12">
        <v>2</v>
      </c>
      <c r="M162" s="20">
        <v>29500</v>
      </c>
      <c r="N162">
        <f t="shared" si="9"/>
        <v>29500</v>
      </c>
    </row>
    <row r="163" spans="8:14">
      <c r="J163" s="18">
        <v>35000</v>
      </c>
      <c r="K163" s="13">
        <v>5</v>
      </c>
      <c r="L163" s="12">
        <v>5</v>
      </c>
      <c r="M163" s="20">
        <v>35000</v>
      </c>
      <c r="N163">
        <f t="shared" si="9"/>
        <v>35000</v>
      </c>
    </row>
    <row r="164" spans="8:14">
      <c r="J164" s="18">
        <v>24000</v>
      </c>
      <c r="K164" s="13">
        <v>2</v>
      </c>
      <c r="L164" s="12">
        <v>2</v>
      </c>
      <c r="M164" s="20">
        <v>24000</v>
      </c>
      <c r="N164">
        <f t="shared" si="9"/>
        <v>24000</v>
      </c>
    </row>
    <row r="165" spans="8:14">
      <c r="J165" s="18"/>
      <c r="K165" s="13">
        <v>1</v>
      </c>
      <c r="L165" s="12">
        <v>1</v>
      </c>
      <c r="M165" s="20">
        <v>29500</v>
      </c>
      <c r="N165">
        <f t="shared" si="9"/>
        <v>29500</v>
      </c>
    </row>
    <row r="166" spans="8:14">
      <c r="J166" s="18">
        <v>39000</v>
      </c>
      <c r="K166" s="13"/>
      <c r="L166" s="12">
        <v>2</v>
      </c>
      <c r="M166" s="20">
        <v>39000</v>
      </c>
      <c r="N166">
        <f t="shared" si="9"/>
        <v>39000</v>
      </c>
    </row>
    <row r="169" spans="8:14">
      <c r="J169">
        <f>AVERAGE(J159:J166)</f>
        <v>29500</v>
      </c>
      <c r="K169">
        <f>ROUND(AVERAGE(K159:K166),0)</f>
        <v>2</v>
      </c>
    </row>
    <row r="175" spans="8:14">
      <c r="H175" s="15" t="s">
        <v>61</v>
      </c>
      <c r="I175" s="13" t="s">
        <v>100</v>
      </c>
    </row>
    <row r="176" spans="8:14">
      <c r="H176" s="15">
        <v>15</v>
      </c>
      <c r="I176" s="13" t="str">
        <f>IF(ISNUMBER(H176),IF(H176&gt;=18,"ELI","NE"),"NOT VALID")</f>
        <v>NE</v>
      </c>
    </row>
    <row r="177" spans="8:10">
      <c r="H177" s="15">
        <v>24</v>
      </c>
      <c r="I177" s="13" t="str">
        <f t="shared" ref="I177:I186" si="10">IF(ISNUMBER(H177),IF(H177&gt;=18,"ELI","NE"),"NOT VALID")</f>
        <v>ELI</v>
      </c>
    </row>
    <row r="178" spans="8:10">
      <c r="H178" s="15">
        <v>24</v>
      </c>
      <c r="I178" s="13" t="str">
        <f t="shared" si="10"/>
        <v>ELI</v>
      </c>
    </row>
    <row r="179" spans="8:10">
      <c r="H179" s="15">
        <v>6</v>
      </c>
      <c r="I179" s="13" t="str">
        <f t="shared" si="10"/>
        <v>NE</v>
      </c>
    </row>
    <row r="180" spans="8:10">
      <c r="H180" s="15">
        <v>3</v>
      </c>
      <c r="I180" s="13" t="str">
        <f>IF(ISNUMBER(H180),IF(H180&gt;=18,"ELI","NE"),"NOT VALID")</f>
        <v>NE</v>
      </c>
    </row>
    <row r="181" spans="8:10">
      <c r="H181" s="15" t="s">
        <v>98</v>
      </c>
      <c r="I181" s="13" t="str">
        <f t="shared" si="10"/>
        <v>NOT VALID</v>
      </c>
    </row>
    <row r="182" spans="8:10">
      <c r="H182" s="15">
        <v>655</v>
      </c>
      <c r="I182" s="13" t="str">
        <f t="shared" si="10"/>
        <v>ELI</v>
      </c>
    </row>
    <row r="183" spans="8:10">
      <c r="H183" s="15">
        <v>2</v>
      </c>
      <c r="I183" s="13" t="str">
        <f t="shared" si="10"/>
        <v>NE</v>
      </c>
    </row>
    <row r="184" spans="8:10">
      <c r="H184" s="15">
        <v>1</v>
      </c>
      <c r="I184" s="13" t="str">
        <f t="shared" si="10"/>
        <v>NE</v>
      </c>
    </row>
    <row r="185" spans="8:10">
      <c r="H185" s="15" t="s">
        <v>99</v>
      </c>
      <c r="I185" s="13" t="str">
        <f t="shared" si="10"/>
        <v>NOT VALID</v>
      </c>
    </row>
    <row r="186" spans="8:10">
      <c r="H186" s="15">
        <v>54</v>
      </c>
      <c r="I186" s="13" t="str">
        <f t="shared" si="10"/>
        <v>ELI</v>
      </c>
    </row>
    <row r="189" spans="8:10">
      <c r="I189" s="19" t="s">
        <v>101</v>
      </c>
      <c r="J189" s="12" t="s">
        <v>102</v>
      </c>
    </row>
    <row r="190" spans="8:10">
      <c r="I190" s="19">
        <v>25</v>
      </c>
      <c r="J190" s="12" t="str">
        <f>IF(ISBLANK(I190),"blank",IF(I190&gt;=18,"ELI","NE"))</f>
        <v>ELI</v>
      </c>
    </row>
    <row r="191" spans="8:10">
      <c r="I191" s="19">
        <v>65</v>
      </c>
      <c r="J191" s="12" t="str">
        <f t="shared" ref="J191:J201" si="11">IF(ISBLANK(I191),"blank",IF(I191&gt;=18,"ELI","NE"))</f>
        <v>ELI</v>
      </c>
    </row>
    <row r="192" spans="8:10">
      <c r="I192" s="19">
        <v>5</v>
      </c>
      <c r="J192" s="12" t="str">
        <f t="shared" si="11"/>
        <v>NE</v>
      </c>
    </row>
    <row r="193" spans="9:10">
      <c r="I193" s="19"/>
      <c r="J193" s="12" t="str">
        <f t="shared" si="11"/>
        <v>blank</v>
      </c>
    </row>
    <row r="194" spans="9:10">
      <c r="I194" s="19">
        <v>26</v>
      </c>
      <c r="J194" s="12" t="str">
        <f t="shared" si="11"/>
        <v>ELI</v>
      </c>
    </row>
    <row r="195" spans="9:10">
      <c r="I195" s="19"/>
      <c r="J195" s="12" t="str">
        <f t="shared" si="11"/>
        <v>blank</v>
      </c>
    </row>
    <row r="196" spans="9:10">
      <c r="I196" s="19">
        <v>652</v>
      </c>
      <c r="J196" s="12" t="str">
        <f t="shared" si="11"/>
        <v>ELI</v>
      </c>
    </row>
    <row r="197" spans="9:10">
      <c r="I197" s="19"/>
      <c r="J197" s="12" t="str">
        <f t="shared" si="11"/>
        <v>blank</v>
      </c>
    </row>
    <row r="198" spans="9:10">
      <c r="I198" s="19">
        <v>62</v>
      </c>
      <c r="J198" s="12" t="str">
        <f t="shared" si="11"/>
        <v>ELI</v>
      </c>
    </row>
    <row r="199" spans="9:10">
      <c r="I199" s="19">
        <v>6</v>
      </c>
      <c r="J199" s="12" t="str">
        <f t="shared" si="11"/>
        <v>NE</v>
      </c>
    </row>
    <row r="200" spans="9:10">
      <c r="I200" s="19">
        <v>5</v>
      </c>
      <c r="J200" s="12" t="str">
        <f t="shared" si="11"/>
        <v>NE</v>
      </c>
    </row>
    <row r="201" spans="9:10">
      <c r="I201" s="19">
        <v>555</v>
      </c>
      <c r="J201" s="12" t="str">
        <f t="shared" si="11"/>
        <v>ELI</v>
      </c>
    </row>
    <row r="208" spans="9:10">
      <c r="I208" t="s">
        <v>61</v>
      </c>
      <c r="J208" t="s">
        <v>109</v>
      </c>
    </row>
    <row r="209" spans="9:10">
      <c r="I209">
        <v>19</v>
      </c>
      <c r="J209" t="str">
        <f>IF(AND(I209&gt;=18,I209&lt;=100),"ELI",IF(AND(I209&gt;=0,I209&lt;18),"NOTELIGI","INVALID AGE"))</f>
        <v>ELI</v>
      </c>
    </row>
    <row r="210" spans="9:10">
      <c r="I210">
        <v>25</v>
      </c>
      <c r="J210" t="str">
        <f t="shared" ref="J210:J222" si="12">IF(AND(I210&gt;=18,I210&lt;=100),"ELI",IF(AND(I210&gt;=0,I210&lt;18),"NOTELIGI","INVALID AGE"))</f>
        <v>ELI</v>
      </c>
    </row>
    <row r="211" spans="9:10">
      <c r="I211">
        <v>17</v>
      </c>
      <c r="J211" t="str">
        <f t="shared" si="12"/>
        <v>NOTELIGI</v>
      </c>
    </row>
    <row r="212" spans="9:10">
      <c r="I212">
        <v>55</v>
      </c>
      <c r="J212" t="str">
        <f t="shared" si="12"/>
        <v>ELI</v>
      </c>
    </row>
    <row r="213" spans="9:10">
      <c r="I213">
        <v>80</v>
      </c>
      <c r="J213" t="str">
        <f t="shared" si="12"/>
        <v>ELI</v>
      </c>
    </row>
    <row r="214" spans="9:10">
      <c r="I214">
        <v>18</v>
      </c>
      <c r="J214" t="str">
        <f t="shared" si="12"/>
        <v>ELI</v>
      </c>
    </row>
    <row r="215" spans="9:10">
      <c r="I215">
        <v>8</v>
      </c>
      <c r="J215" t="str">
        <f t="shared" si="12"/>
        <v>NOTELIGI</v>
      </c>
    </row>
    <row r="216" spans="9:10">
      <c r="I216">
        <v>54</v>
      </c>
      <c r="J216" t="str">
        <f t="shared" si="12"/>
        <v>ELI</v>
      </c>
    </row>
    <row r="217" spans="9:10">
      <c r="I217">
        <v>854</v>
      </c>
      <c r="J217" t="str">
        <f t="shared" si="12"/>
        <v>INVALID AGE</v>
      </c>
    </row>
    <row r="218" spans="9:10">
      <c r="I218">
        <v>-5</v>
      </c>
      <c r="J218" t="str">
        <f t="shared" si="12"/>
        <v>INVALID AGE</v>
      </c>
    </row>
    <row r="219" spans="9:10">
      <c r="I219">
        <v>0</v>
      </c>
      <c r="J219" t="str">
        <f t="shared" si="12"/>
        <v>NOTELIGI</v>
      </c>
    </row>
    <row r="220" spans="9:10">
      <c r="I220">
        <v>100</v>
      </c>
      <c r="J220" t="str">
        <f t="shared" si="12"/>
        <v>ELI</v>
      </c>
    </row>
    <row r="221" spans="9:10">
      <c r="I221">
        <v>33</v>
      </c>
      <c r="J221" t="str">
        <f t="shared" si="12"/>
        <v>ELI</v>
      </c>
    </row>
    <row r="222" spans="9:10">
      <c r="I222">
        <v>-55</v>
      </c>
      <c r="J222" t="str">
        <f t="shared" si="12"/>
        <v>INVALID AGE</v>
      </c>
    </row>
    <row r="228" spans="11:12">
      <c r="K228" t="s">
        <v>61</v>
      </c>
    </row>
    <row r="229" spans="11:12">
      <c r="K229">
        <v>19</v>
      </c>
      <c r="L229" t="str">
        <f>IF(ISBLANK(K229),"BLANK",IF(ISNUMBER(K229),IF(AND(I209&gt;=18,I209&lt;=100),"ELI",IF(AND(I209&gt;=0,I209&lt;18),"NOTELIGI","INVALID AGE")),"NAN"))</f>
        <v>ELI</v>
      </c>
    </row>
    <row r="230" spans="11:12">
      <c r="K230">
        <v>25</v>
      </c>
      <c r="L230" t="str">
        <f t="shared" ref="L230:L242" si="13">IF(ISBLANK(K230),"BLANK",IF(ISNUMBER(K230),IF(AND(I210&gt;=18,I210&lt;=100),"ELI",IF(AND(I210&gt;=0,I210&lt;18),"NOTELIGI","INVALID AGE")),"NAN"))</f>
        <v>ELI</v>
      </c>
    </row>
    <row r="231" spans="11:12">
      <c r="K231">
        <v>17</v>
      </c>
      <c r="L231" t="str">
        <f t="shared" si="13"/>
        <v>NOTELIGI</v>
      </c>
    </row>
    <row r="232" spans="11:12">
      <c r="K232">
        <v>55</v>
      </c>
      <c r="L232" t="str">
        <f t="shared" si="13"/>
        <v>ELI</v>
      </c>
    </row>
    <row r="233" spans="11:12">
      <c r="K233">
        <v>80</v>
      </c>
      <c r="L233" t="str">
        <f t="shared" si="13"/>
        <v>ELI</v>
      </c>
    </row>
    <row r="234" spans="11:12">
      <c r="K234">
        <v>18</v>
      </c>
      <c r="L234" t="str">
        <f t="shared" si="13"/>
        <v>ELI</v>
      </c>
    </row>
    <row r="235" spans="11:12">
      <c r="K235">
        <v>8</v>
      </c>
      <c r="L235" t="str">
        <f t="shared" si="13"/>
        <v>NOTELIGI</v>
      </c>
    </row>
    <row r="236" spans="11:12">
      <c r="K236">
        <v>54</v>
      </c>
      <c r="L236" t="str">
        <f t="shared" si="13"/>
        <v>ELI</v>
      </c>
    </row>
    <row r="237" spans="11:12">
      <c r="K237">
        <v>854</v>
      </c>
      <c r="L237" t="str">
        <f t="shared" si="13"/>
        <v>INVALID AGE</v>
      </c>
    </row>
    <row r="238" spans="11:12">
      <c r="K238">
        <v>-5</v>
      </c>
      <c r="L238" t="str">
        <f t="shared" si="13"/>
        <v>INVALID AGE</v>
      </c>
    </row>
    <row r="239" spans="11:12">
      <c r="K239">
        <v>0</v>
      </c>
      <c r="L239" t="str">
        <f t="shared" si="13"/>
        <v>NOTELIGI</v>
      </c>
    </row>
    <row r="240" spans="11:12">
      <c r="K240">
        <v>54</v>
      </c>
      <c r="L240" t="str">
        <f t="shared" si="13"/>
        <v>ELI</v>
      </c>
    </row>
    <row r="241" spans="9:12">
      <c r="K241" t="s">
        <v>1</v>
      </c>
      <c r="L241" t="str">
        <f t="shared" si="13"/>
        <v>NAN</v>
      </c>
    </row>
    <row r="242" spans="9:12">
      <c r="K242">
        <v>-5</v>
      </c>
      <c r="L242" t="str">
        <f t="shared" si="13"/>
        <v>INVALID AGE</v>
      </c>
    </row>
    <row r="253" spans="9:12">
      <c r="I253">
        <v>19</v>
      </c>
      <c r="J253" t="str">
        <f>IF(I253&gt;0,"POSI",IF(I253&lt;0,"NEG","ZER0"))</f>
        <v>POSI</v>
      </c>
    </row>
    <row r="254" spans="9:12">
      <c r="I254">
        <v>25</v>
      </c>
      <c r="J254" t="str">
        <f t="shared" ref="J254:J268" si="14">IF(I254&gt;0,"POSI",IF(I254&lt;0,"NEG","ZER0"))</f>
        <v>POSI</v>
      </c>
    </row>
    <row r="255" spans="9:12">
      <c r="I255">
        <v>17</v>
      </c>
      <c r="J255" t="str">
        <f t="shared" si="14"/>
        <v>POSI</v>
      </c>
    </row>
    <row r="256" spans="9:12">
      <c r="I256">
        <v>55</v>
      </c>
      <c r="J256" t="str">
        <f t="shared" si="14"/>
        <v>POSI</v>
      </c>
    </row>
    <row r="257" spans="9:12">
      <c r="I257">
        <v>80</v>
      </c>
      <c r="J257" t="str">
        <f t="shared" si="14"/>
        <v>POSI</v>
      </c>
    </row>
    <row r="258" spans="9:12">
      <c r="I258">
        <v>18</v>
      </c>
      <c r="J258" t="str">
        <f t="shared" si="14"/>
        <v>POSI</v>
      </c>
    </row>
    <row r="259" spans="9:12">
      <c r="I259">
        <v>8</v>
      </c>
      <c r="J259" t="str">
        <f t="shared" si="14"/>
        <v>POSI</v>
      </c>
    </row>
    <row r="260" spans="9:12">
      <c r="I260">
        <v>54</v>
      </c>
      <c r="J260" t="str">
        <f t="shared" si="14"/>
        <v>POSI</v>
      </c>
    </row>
    <row r="261" spans="9:12">
      <c r="I261">
        <v>854</v>
      </c>
      <c r="J261" t="str">
        <f t="shared" si="14"/>
        <v>POSI</v>
      </c>
    </row>
    <row r="262" spans="9:12">
      <c r="I262">
        <v>-5</v>
      </c>
      <c r="J262" t="str">
        <f t="shared" si="14"/>
        <v>NEG</v>
      </c>
    </row>
    <row r="263" spans="9:12">
      <c r="I263">
        <v>0</v>
      </c>
      <c r="J263" t="str">
        <f t="shared" si="14"/>
        <v>ZER0</v>
      </c>
    </row>
    <row r="264" spans="9:12">
      <c r="I264">
        <v>100</v>
      </c>
      <c r="J264" t="str">
        <f t="shared" si="14"/>
        <v>POSI</v>
      </c>
    </row>
    <row r="265" spans="9:12">
      <c r="I265">
        <v>33</v>
      </c>
      <c r="J265" t="str">
        <f t="shared" si="14"/>
        <v>POSI</v>
      </c>
    </row>
    <row r="266" spans="9:12">
      <c r="I266">
        <v>-55</v>
      </c>
      <c r="J266" t="str">
        <f t="shared" si="14"/>
        <v>NEG</v>
      </c>
    </row>
    <row r="267" spans="9:12">
      <c r="I267">
        <v>88</v>
      </c>
      <c r="J267" t="str">
        <f t="shared" si="14"/>
        <v>POSI</v>
      </c>
    </row>
    <row r="268" spans="9:12">
      <c r="I268">
        <v>5</v>
      </c>
      <c r="J268" t="str">
        <f t="shared" si="14"/>
        <v>POSI</v>
      </c>
    </row>
    <row r="270" spans="9:12">
      <c r="K270">
        <v>19</v>
      </c>
      <c r="L270" t="str">
        <f>IF(AND(K270&gt;0,K270&lt;12),"CHILD",IF(AND(K270&gt;12,K270&lt;25),"TEEN",IF(AND(K270&gt;25,K270&lt;50),"ADULT","SENIOR")))</f>
        <v>TEEN</v>
      </c>
    </row>
    <row r="271" spans="9:12">
      <c r="K271">
        <v>25</v>
      </c>
      <c r="L271" t="str">
        <f t="shared" ref="L271:L286" si="15">IF(AND(K271&gt;0,K271&lt;12),"CHILD",IF(AND(K271&gt;12,K271&lt;25),"TEEN",IF(AND(K271&gt;25,K271&lt;50),"ADULT","SENIOR")))</f>
        <v>SENIOR</v>
      </c>
    </row>
    <row r="272" spans="9:12">
      <c r="K272">
        <v>17</v>
      </c>
      <c r="L272" t="str">
        <f t="shared" si="15"/>
        <v>TEEN</v>
      </c>
    </row>
    <row r="273" spans="11:12">
      <c r="K273">
        <v>55</v>
      </c>
      <c r="L273" t="str">
        <f t="shared" si="15"/>
        <v>SENIOR</v>
      </c>
    </row>
    <row r="274" spans="11:12">
      <c r="K274">
        <v>80</v>
      </c>
      <c r="L274" t="str">
        <f t="shared" si="15"/>
        <v>SENIOR</v>
      </c>
    </row>
    <row r="275" spans="11:12">
      <c r="K275">
        <v>18</v>
      </c>
      <c r="L275" t="str">
        <f t="shared" si="15"/>
        <v>TEEN</v>
      </c>
    </row>
    <row r="276" spans="11:12">
      <c r="K276">
        <v>8</v>
      </c>
      <c r="L276" t="str">
        <f t="shared" si="15"/>
        <v>CHILD</v>
      </c>
    </row>
    <row r="277" spans="11:12">
      <c r="K277">
        <v>54</v>
      </c>
      <c r="L277" t="str">
        <f t="shared" si="15"/>
        <v>SENIOR</v>
      </c>
    </row>
    <row r="278" spans="11:12">
      <c r="K278">
        <v>854</v>
      </c>
      <c r="L278" t="str">
        <f t="shared" si="15"/>
        <v>SENIOR</v>
      </c>
    </row>
    <row r="279" spans="11:12">
      <c r="K279">
        <v>66</v>
      </c>
      <c r="L279" t="str">
        <f t="shared" si="15"/>
        <v>SENIOR</v>
      </c>
    </row>
    <row r="280" spans="11:12">
      <c r="K280">
        <v>88</v>
      </c>
      <c r="L280" t="str">
        <f t="shared" si="15"/>
        <v>SENIOR</v>
      </c>
    </row>
    <row r="281" spans="11:12">
      <c r="K281">
        <v>100</v>
      </c>
      <c r="L281" t="str">
        <f t="shared" si="15"/>
        <v>SENIOR</v>
      </c>
    </row>
    <row r="282" spans="11:12">
      <c r="K282">
        <v>33</v>
      </c>
      <c r="L282" t="str">
        <f t="shared" si="15"/>
        <v>ADULT</v>
      </c>
    </row>
    <row r="283" spans="11:12">
      <c r="K283">
        <v>54</v>
      </c>
      <c r="L283" t="str">
        <f t="shared" si="15"/>
        <v>SENIOR</v>
      </c>
    </row>
    <row r="284" spans="11:12">
      <c r="K284">
        <v>88</v>
      </c>
      <c r="L284" t="str">
        <f t="shared" si="15"/>
        <v>SENIOR</v>
      </c>
    </row>
    <row r="285" spans="11:12">
      <c r="K285">
        <v>5</v>
      </c>
      <c r="L285" t="str">
        <f t="shared" si="15"/>
        <v>CHILD</v>
      </c>
    </row>
    <row r="286" spans="11:12">
      <c r="K286">
        <v>47</v>
      </c>
      <c r="L286" t="str">
        <f t="shared" si="15"/>
        <v>ADULT</v>
      </c>
    </row>
  </sheetData>
  <autoFilter ref="H143:M156"/>
  <mergeCells count="3">
    <mergeCell ref="M23:N23"/>
    <mergeCell ref="H88:L88"/>
    <mergeCell ref="I89:L8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2025-09-03T11:48:30Z</dcterms:created>
  <dcterms:modified xsi:type="dcterms:W3CDTF">2025-09-11T13:05:47Z</dcterms:modified>
</cp:coreProperties>
</file>